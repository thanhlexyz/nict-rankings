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https://nictjp.sharepoint.com/sites/msteams_636c75/Shared Documents/グループミーティング・研究室ゼミ(2026.04-)/"/>
    </mc:Choice>
  </mc:AlternateContent>
  <xr:revisionPtr revIDLastSave="0" documentId="8_{A82E85BC-B65A-489E-9DB8-DC95D068AA25}" xr6:coauthVersionLast="47" xr6:coauthVersionMax="47" xr10:uidLastSave="{00000000-0000-0000-0000-000000000000}"/>
  <bookViews>
    <workbookView xWindow="3456" yWindow="3456" windowWidth="34560" windowHeight="18600" xr2:uid="{00000000-000D-0000-FFFF-FFFF00000000}"/>
  </bookViews>
  <sheets>
    <sheet name="Total citation" sheetId="1" r:id="rId1"/>
    <sheet name="Monthly diff" sheetId="12" state="hidden" r:id="rId2"/>
    <sheet name="Total H-index" sheetId="2" r:id="rId3"/>
    <sheet name="Total i10-index" sheetId="3" r:id="rId4"/>
    <sheet name="Citation since 2021" sheetId="4" r:id="rId5"/>
    <sheet name="H-index since 2021" sheetId="5" state="hidden" r:id="rId6"/>
    <sheet name="Number of publication" sheetId="6" state="hidden" r:id="rId7"/>
    <sheet name="Average citation per paper" sheetId="8" state="hidden" r:id="rId8"/>
    <sheet name="Average H-index per paper" sheetId="10" state="hidden" r:id="rId9"/>
    <sheet name="Average i10-index per paper" sheetId="11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2" l="1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4" i="12"/>
  <c r="C3" i="8"/>
  <c r="C5" i="11"/>
  <c r="C6" i="11"/>
  <c r="C7" i="11"/>
  <c r="C8" i="11"/>
  <c r="C9" i="11"/>
  <c r="C10" i="11"/>
  <c r="C12" i="11"/>
  <c r="C13" i="11"/>
  <c r="C14" i="11"/>
  <c r="C15" i="11"/>
  <c r="C16" i="11"/>
  <c r="C17" i="11"/>
  <c r="C18" i="11"/>
  <c r="C19" i="11"/>
  <c r="C20" i="11"/>
  <c r="C3" i="11"/>
  <c r="C5" i="10"/>
  <c r="C6" i="10"/>
  <c r="C7" i="10"/>
  <c r="C8" i="10"/>
  <c r="C9" i="10"/>
  <c r="C10" i="10"/>
  <c r="C12" i="10"/>
  <c r="C13" i="10"/>
  <c r="C14" i="10"/>
  <c r="C15" i="10"/>
  <c r="C16" i="10"/>
  <c r="C17" i="10"/>
  <c r="C18" i="10"/>
  <c r="C19" i="10"/>
  <c r="C20" i="10"/>
  <c r="C3" i="10"/>
  <c r="C5" i="8"/>
  <c r="C6" i="8"/>
  <c r="C7" i="8"/>
  <c r="C8" i="8"/>
  <c r="C9" i="8"/>
  <c r="C10" i="8"/>
  <c r="C12" i="8"/>
  <c r="C13" i="8"/>
  <c r="C14" i="8"/>
  <c r="C15" i="8"/>
  <c r="C16" i="8"/>
  <c r="C17" i="8"/>
  <c r="C18" i="8"/>
  <c r="C19" i="8"/>
  <c r="C20" i="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<sst xmlns="http://schemas.openxmlformats.org/spreadsheetml/2006/main" count="438" uniqueCount="57">
  <si>
    <t>https://scholar.google.co.jp/schhp?hl=ja&amp;as_sdt=0,5</t>
    <phoneticPr fontId="1"/>
  </si>
  <si>
    <t>被引用件数/Number of Citations</t>
    <rPh sb="0" eb="5">
      <t>ヒインヨウケンスウ</t>
    </rPh>
    <phoneticPr fontId="1"/>
  </si>
  <si>
    <t>検索名</t>
    <rPh sb="0" eb="2">
      <t>ケンサク</t>
    </rPh>
    <rPh sb="2" eb="3">
      <t>メイ</t>
    </rPh>
    <phoneticPr fontId="1"/>
  </si>
  <si>
    <t>2026/06</t>
    <phoneticPr fontId="1"/>
  </si>
  <si>
    <t>2026/07</t>
  </si>
  <si>
    <t>2026/08</t>
  </si>
  <si>
    <t>2026/09</t>
    <phoneticPr fontId="1"/>
  </si>
  <si>
    <t>松村 武</t>
    <phoneticPr fontId="3"/>
  </si>
  <si>
    <t>Takeshi Matsumura nict</t>
    <phoneticPr fontId="1"/>
  </si>
  <si>
    <t>李 還幇</t>
    <phoneticPr fontId="3"/>
  </si>
  <si>
    <t>沢田 浩和</t>
    <rPh sb="0" eb="2">
      <t>サワダ</t>
    </rPh>
    <rPh sb="3" eb="5">
      <t>ヒロカズ</t>
    </rPh>
    <phoneticPr fontId="3"/>
  </si>
  <si>
    <t>Hirokazu Sawada nict</t>
    <phoneticPr fontId="1"/>
  </si>
  <si>
    <t>松田 隆志</t>
    <phoneticPr fontId="3"/>
  </si>
  <si>
    <t>Takashi Matsuda</t>
    <phoneticPr fontId="1"/>
  </si>
  <si>
    <t>表 昌佑</t>
    <phoneticPr fontId="3"/>
  </si>
  <si>
    <t>Changwoo Pyo</t>
  </si>
  <si>
    <t>村上 誉</t>
    <phoneticPr fontId="3"/>
  </si>
  <si>
    <t>Homare Murakami nict</t>
    <phoneticPr fontId="3"/>
  </si>
  <si>
    <t>Villardi Gabriel</t>
    <phoneticPr fontId="3"/>
  </si>
  <si>
    <t>Villardi Gabriel nict</t>
    <phoneticPr fontId="3"/>
  </si>
  <si>
    <t>川崎 耀</t>
    <rPh sb="0" eb="2">
      <t>カワサキ</t>
    </rPh>
    <phoneticPr fontId="3"/>
  </si>
  <si>
    <t>Hikaru Kawasaki nict</t>
    <phoneticPr fontId="3"/>
  </si>
  <si>
    <t>三浦 龍</t>
    <phoneticPr fontId="3"/>
  </si>
  <si>
    <t>Haniz Azril</t>
    <phoneticPr fontId="3"/>
  </si>
  <si>
    <t>Azril Haniz</t>
  </si>
  <si>
    <t>中村 道春</t>
    <rPh sb="0" eb="2">
      <t>ナカムラ</t>
    </rPh>
    <rPh sb="3" eb="5">
      <t>ミチハル</t>
    </rPh>
    <phoneticPr fontId="3"/>
  </si>
  <si>
    <t>Michiharu Nakamura nict</t>
    <phoneticPr fontId="3"/>
  </si>
  <si>
    <t>Arif Dataesatu</t>
    <phoneticPr fontId="3"/>
  </si>
  <si>
    <t>Arif Dataesatu nict</t>
    <phoneticPr fontId="3"/>
  </si>
  <si>
    <t>Ekolle Zie Eya</t>
    <phoneticPr fontId="3"/>
  </si>
  <si>
    <t>Ekolle Zie Eya nict</t>
    <phoneticPr fontId="3"/>
  </si>
  <si>
    <t>村井 英志</t>
    <rPh sb="0" eb="2">
      <t>ムライ</t>
    </rPh>
    <rPh sb="3" eb="5">
      <t>ヒデユキ</t>
    </rPh>
    <phoneticPr fontId="3"/>
  </si>
  <si>
    <t>Murai Hideshi</t>
    <phoneticPr fontId="1"/>
  </si>
  <si>
    <t>共著、Patentを含む</t>
    <rPh sb="0" eb="2">
      <t>キョウチョ</t>
    </rPh>
    <rPh sb="10" eb="11">
      <t>フク</t>
    </rPh>
    <phoneticPr fontId="1"/>
  </si>
  <si>
    <t>Le Thanh</t>
    <phoneticPr fontId="3"/>
  </si>
  <si>
    <t>Thanh Le nict</t>
  </si>
  <si>
    <t>趙　欧</t>
    <phoneticPr fontId="3"/>
  </si>
  <si>
    <t>Ou Zhao</t>
  </si>
  <si>
    <t>Eum Suyong</t>
    <phoneticPr fontId="1"/>
  </si>
  <si>
    <t>Suyong Eum</t>
  </si>
  <si>
    <t>I registered today, so it should be searchable in a few days.</t>
    <phoneticPr fontId="1"/>
  </si>
  <si>
    <t>若山 篤</t>
    <phoneticPr fontId="3"/>
  </si>
  <si>
    <t>Atushi Wakayama</t>
  </si>
  <si>
    <t>丸山 正晃</t>
  </si>
  <si>
    <t>Masaaki Maruyama nict</t>
    <phoneticPr fontId="1"/>
  </si>
  <si>
    <t>伊深 和雄</t>
    <rPh sb="0" eb="2">
      <t>イブカ</t>
    </rPh>
    <rPh sb="3" eb="5">
      <t>カズオ</t>
    </rPh>
    <phoneticPr fontId="3"/>
  </si>
  <si>
    <t xml:space="preserve"> Kazuo Ibuka nict</t>
    <phoneticPr fontId="3"/>
  </si>
  <si>
    <t>1st</t>
  </si>
  <si>
    <t>2nd</t>
  </si>
  <si>
    <t>3rd</t>
  </si>
  <si>
    <t>H-index</t>
  </si>
  <si>
    <t>i10-index</t>
  </si>
  <si>
    <t>Citation</t>
  </si>
  <si>
    <t>Number of publication</t>
  </si>
  <si>
    <t>Average citation per paper</t>
  </si>
  <si>
    <t>Average H-index per paper</t>
  </si>
  <si>
    <t>Average i10-index per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</si>
</sst>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 Medium"/>
      <family val="3"/>
      <charset val="128"/>
    </font>
    <font>
      <sz val="6"/>
      <name val="ＭＳ Ｐゴシック"/>
      <family val="3"/>
      <charset val="128"/>
    </font>
    <font>
      <sz val="10"/>
      <name val="Yu Gothic Medium"/>
      <family val="3"/>
      <charset val="128"/>
    </font>
    <font>
      <u/>
      <sz val="11"/>
      <color theme="10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name val="Yu Gothic Medium"/>
      <family val="3"/>
      <charset val="128"/>
    </font>
    <font>
      <sz val="13.5"/>
      <color rgb="FF000000"/>
      <name val="-Webkit-Standard"/>
      <family val="3"/>
      <charset val="128"/>
    </font>
    <font>
      <b/>
      <sz val="11"/>
      <color theme="1"/>
      <name val="Yu Gothic"/>
      <family val="2"/>
      <scheme val="minor"/>
    </font>
    <font>
      <sz val="11"/>
      <color rgb="FF000000"/>
      <name val="Yu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F4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 shrinkToFit="1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1" applyAlignment="1">
      <alignment vertical="center"/>
    </xf>
    <xf numFmtId="0" fontId="8" fillId="0" borderId="0" xfId="0" applyFont="1"/>
    <xf numFmtId="0" fontId="10" fillId="0" borderId="1" xfId="0" applyFont="1" applyBorder="1" applyAlignment="1">
      <alignment horizontal="center" vertical="center"/>
    </xf>
    <xf numFmtId="49" fontId="5" fillId="2" borderId="1" xfId="1" applyNumberFormat="1" applyFill="1" applyBorder="1" applyAlignment="1">
      <alignment horizontal="left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7" fillId="0" borderId="0" xfId="0" applyNumberFormat="1" applyFont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ECF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Relationship Id="rId22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cholar.google.com/citations?user=UkCDAXUAAAAJ&amp;hl=en" TargetMode="External"/><Relationship Id="rId1" Type="http://schemas.openxmlformats.org/officeDocument/2006/relationships/hyperlink" Target="https://scholar.google.co.jp/schhp?hl=ja&amp;as_sdt=0,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cholar.google.com/citations?user=UkCDAXUAAAAJ&amp;hl=en" TargetMode="External"/><Relationship Id="rId1" Type="http://schemas.openxmlformats.org/officeDocument/2006/relationships/hyperlink" Target="https://scholar.google.co.jp/schhp?hl=ja&amp;as_sdt=0,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workbookViewId="0">
      <selection activeCell="F23" sqref="F23"/>
    </sheetView>
  </sheetViews>
  <sheetFormatPr defaultRowHeight="18"/>
  <cols>
    <col min="1" max="1" width="14.125" bestFit="1" customWidth="1"/>
    <col min="2" max="2" width="21.75" bestFit="1" customWidth="1"/>
    <col min="3" max="3" width="13" style="5" bestFit="1" customWidth="1"/>
    <col min="4" max="4" width="12.75" style="5" customWidth="1"/>
    <col min="5" max="14" width="8.75" style="5"/>
  </cols>
  <sheetData>
    <row r="1" spans="1:14" s="2" customFormat="1" ht="29.45" customHeight="1">
      <c r="A1" s="33" t="e" vm="1">
        <v>#VALUE!</v>
      </c>
      <c r="B1" s="33"/>
      <c r="C1" s="17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1" customFormat="1">
      <c r="C2" s="15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B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spans="1:14" ht="25.15" customHeight="1">
      <c r="A4" s="7" t="s">
        <v>7</v>
      </c>
      <c r="B4" s="8" t="s">
        <v>8</v>
      </c>
      <c r="C4" s="26">
        <v>1302</v>
      </c>
      <c r="D4" s="5">
        <v>1304</v>
      </c>
    </row>
    <row r="5" spans="1:14" ht="25.15" customHeight="1">
      <c r="A5" s="9" t="s">
        <v>9</v>
      </c>
      <c r="B5" s="10"/>
      <c r="C5" s="6"/>
    </row>
    <row r="6" spans="1:14" ht="25.15" customHeight="1">
      <c r="A6" s="11" t="s">
        <v>10</v>
      </c>
      <c r="B6" s="12" t="s">
        <v>11</v>
      </c>
      <c r="C6" s="6">
        <v>921</v>
      </c>
      <c r="D6" s="5">
        <v>917</v>
      </c>
    </row>
    <row r="7" spans="1:14" ht="25.15" customHeight="1">
      <c r="A7" s="11" t="s">
        <v>12</v>
      </c>
      <c r="B7" s="12" t="s">
        <v>13</v>
      </c>
      <c r="C7" s="31">
        <v>355</v>
      </c>
      <c r="D7" s="5">
        <v>355</v>
      </c>
    </row>
    <row r="8" spans="1:14" ht="25.15" customHeight="1">
      <c r="A8" s="11" t="s">
        <v>14</v>
      </c>
      <c r="B8" s="12" t="s">
        <v>15</v>
      </c>
      <c r="C8" s="25">
        <v>1749</v>
      </c>
      <c r="D8" s="5">
        <v>1751</v>
      </c>
    </row>
    <row r="9" spans="1:14" ht="25.15" customHeight="1">
      <c r="A9" s="11" t="s">
        <v>16</v>
      </c>
      <c r="B9" s="10" t="s">
        <v>17</v>
      </c>
      <c r="C9" s="6">
        <v>1389</v>
      </c>
      <c r="D9" s="5">
        <v>1390</v>
      </c>
    </row>
    <row r="10" spans="1:14" ht="25.15" customHeight="1">
      <c r="A10" s="11" t="s">
        <v>18</v>
      </c>
      <c r="B10" s="13" t="s">
        <v>19</v>
      </c>
      <c r="C10" s="24">
        <v>1985</v>
      </c>
      <c r="D10" s="5">
        <v>1954</v>
      </c>
    </row>
    <row r="11" spans="1:14" ht="25.15" customHeight="1">
      <c r="A11" s="14" t="s">
        <v>20</v>
      </c>
      <c r="B11" s="14" t="s">
        <v>21</v>
      </c>
      <c r="C11" s="6">
        <v>136</v>
      </c>
      <c r="D11" s="5">
        <v>140</v>
      </c>
    </row>
    <row r="12" spans="1:14" ht="25.15" customHeight="1">
      <c r="A12" s="12" t="s">
        <v>22</v>
      </c>
      <c r="B12" s="10"/>
      <c r="C12" s="6"/>
    </row>
    <row r="13" spans="1:14" ht="25.15" customHeight="1">
      <c r="A13" s="14" t="s">
        <v>23</v>
      </c>
      <c r="B13" s="14" t="s">
        <v>24</v>
      </c>
      <c r="C13" s="6">
        <v>266</v>
      </c>
      <c r="D13" s="5">
        <v>264</v>
      </c>
    </row>
    <row r="14" spans="1:14" ht="33.75" customHeight="1">
      <c r="A14" s="14" t="s">
        <v>25</v>
      </c>
      <c r="B14" s="14" t="s">
        <v>26</v>
      </c>
      <c r="C14" s="6">
        <v>768</v>
      </c>
      <c r="D14" s="5">
        <v>761</v>
      </c>
    </row>
    <row r="15" spans="1:14" ht="25.15" customHeight="1">
      <c r="A15" s="14" t="s">
        <v>27</v>
      </c>
      <c r="B15" s="14" t="s">
        <v>28</v>
      </c>
      <c r="C15" s="6">
        <v>58</v>
      </c>
      <c r="D15" s="5">
        <v>55</v>
      </c>
    </row>
    <row r="16" spans="1:14" ht="25.15" customHeight="1">
      <c r="A16" s="14" t="s">
        <v>29</v>
      </c>
      <c r="B16" s="14" t="s">
        <v>30</v>
      </c>
      <c r="C16" s="6">
        <v>44</v>
      </c>
      <c r="D16" s="5">
        <v>48</v>
      </c>
    </row>
    <row r="17" spans="1:7" ht="25.15" customHeight="1">
      <c r="A17" s="14" t="s">
        <v>31</v>
      </c>
      <c r="B17" s="14" t="s">
        <v>32</v>
      </c>
      <c r="C17" s="6">
        <v>1206</v>
      </c>
      <c r="D17" s="5">
        <v>1222</v>
      </c>
      <c r="G17" s="16" t="s">
        <v>33</v>
      </c>
    </row>
    <row r="18" spans="1:7" ht="25.15" customHeight="1">
      <c r="A18" s="14" t="s">
        <v>34</v>
      </c>
      <c r="B18" s="20" t="s">
        <v>35</v>
      </c>
      <c r="C18" s="6">
        <v>96</v>
      </c>
      <c r="D18" s="5">
        <v>104</v>
      </c>
    </row>
    <row r="19" spans="1:7" ht="25.15" customHeight="1">
      <c r="A19" s="14" t="s">
        <v>36</v>
      </c>
      <c r="B19" s="14" t="s">
        <v>37</v>
      </c>
      <c r="C19" s="6">
        <v>921</v>
      </c>
      <c r="D19" s="5">
        <v>905</v>
      </c>
    </row>
    <row r="20" spans="1:7" ht="25.15" customHeight="1">
      <c r="A20" s="14" t="s">
        <v>38</v>
      </c>
      <c r="B20" s="14" t="s">
        <v>39</v>
      </c>
      <c r="C20" s="6">
        <v>845</v>
      </c>
      <c r="D20" s="5">
        <v>858</v>
      </c>
      <c r="G20" t="s">
        <v>40</v>
      </c>
    </row>
    <row r="21" spans="1:7" ht="25.15" customHeight="1">
      <c r="A21" s="12" t="s">
        <v>41</v>
      </c>
      <c r="B21" s="10" t="s">
        <v>42</v>
      </c>
      <c r="C21" s="6">
        <v>24</v>
      </c>
      <c r="D21" s="5">
        <v>25</v>
      </c>
    </row>
    <row r="22" spans="1:7" ht="25.15" customHeight="1">
      <c r="A22" s="14" t="s">
        <v>43</v>
      </c>
      <c r="B22" s="14" t="s">
        <v>44</v>
      </c>
      <c r="C22" s="6">
        <v>149</v>
      </c>
      <c r="D22" s="5">
        <v>149</v>
      </c>
    </row>
    <row r="23" spans="1:7" ht="25.15" customHeight="1">
      <c r="A23" s="14" t="s">
        <v>45</v>
      </c>
      <c r="B23" s="14" t="s">
        <v>46</v>
      </c>
      <c r="C23" s="6">
        <v>154</v>
      </c>
      <c r="D23" s="5">
        <v>154</v>
      </c>
    </row>
    <row r="25" spans="1:7">
      <c r="A25" t="s">
        <v>47</v>
      </c>
      <c r="B25" s="22"/>
    </row>
    <row r="26" spans="1:7">
      <c r="A26" t="s">
        <v>48</v>
      </c>
      <c r="B26" s="23"/>
    </row>
    <row r="27" spans="1:7">
      <c r="A27" t="s">
        <v>49</v>
      </c>
      <c r="B27" s="21"/>
    </row>
  </sheetData>
  <mergeCells count="1">
    <mergeCell ref="A1:B1"/>
  </mergeCells>
  <phoneticPr fontId="1"/>
  <hyperlinks>
    <hyperlink ref="C1" r:id="rId1" xr:uid="{448FEED3-04E4-424A-9DF4-E89FF6AA57E3}"/>
    <hyperlink ref="B18" r:id="rId2" xr:uid="{AC07DFEA-61C3-4DA6-905D-9E869B3832D0}"/>
  </hyperlinks>
  <printOptions horizontalCentered="1"/>
  <pageMargins left="0.11811023622047245" right="0.11811023622047245" top="0.55118110236220474" bottom="0.55118110236220474" header="0.31496062992125984" footer="0.31496062992125984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7E4F-8202-4D4F-9048-13C675F95613}">
  <sheetPr>
    <pageSetUpPr fitToPage="1"/>
  </sheetPr>
  <dimension ref="A1:N27"/>
  <sheetViews>
    <sheetView workbookViewId="0">
      <selection activeCell="D18" sqref="D18"/>
    </sheetView>
  </sheetViews>
  <sheetFormatPr defaultRowHeight="18"/>
  <cols>
    <col min="1" max="1" width="14.125" bestFit="1" customWidth="1"/>
    <col min="2" max="2" width="21.75" bestFit="1" customWidth="1"/>
    <col min="3" max="3" width="13" style="5" bestFit="1" customWidth="1"/>
    <col min="4" max="4" width="12.75" style="5" customWidth="1"/>
    <col min="5" max="14" width="9" style="5"/>
  </cols>
  <sheetData>
    <row r="1" spans="1:14" s="2" customFormat="1" ht="29.45" customHeight="1">
      <c r="A1" s="33" t="e" vm="1">
        <v>#VALUE!</v>
      </c>
      <c r="B1" s="33"/>
      <c r="C1" s="17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1" customFormat="1">
      <c r="C2" s="15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B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spans="1:14" ht="25.15" customHeight="1">
      <c r="A4" s="7" t="s">
        <v>7</v>
      </c>
      <c r="B4" s="8" t="s">
        <v>8</v>
      </c>
      <c r="C4" s="26">
        <v>1302</v>
      </c>
      <c r="D4" s="5">
        <f>ROUND('Total citation'!D4-'Total citation'!C4, 2)</f>
        <v>2</v>
      </c>
    </row>
    <row r="5" spans="1:14" ht="25.15" customHeight="1">
      <c r="A5" s="9" t="s">
        <v>9</v>
      </c>
      <c r="B5" s="10"/>
      <c r="C5" s="6"/>
      <c r="D5" s="5">
        <f>ROUND('Total citation'!D5-'Total citation'!C5, 2)</f>
        <v>0</v>
      </c>
    </row>
    <row r="6" spans="1:14" ht="25.15" customHeight="1">
      <c r="A6" s="11" t="s">
        <v>10</v>
      </c>
      <c r="B6" s="12" t="s">
        <v>11</v>
      </c>
      <c r="C6" s="6">
        <v>921</v>
      </c>
      <c r="D6" s="5">
        <f>ROUND('Total citation'!D6-'Total citation'!C6, 2)</f>
        <v>-4</v>
      </c>
    </row>
    <row r="7" spans="1:14" ht="25.15" customHeight="1">
      <c r="A7" s="11" t="s">
        <v>12</v>
      </c>
      <c r="B7" s="12" t="s">
        <v>13</v>
      </c>
      <c r="C7" s="31">
        <v>355</v>
      </c>
      <c r="D7" s="5">
        <f>ROUND('Total citation'!D7-'Total citation'!C7, 2)</f>
        <v>0</v>
      </c>
    </row>
    <row r="8" spans="1:14" ht="25.15" customHeight="1">
      <c r="A8" s="11" t="s">
        <v>14</v>
      </c>
      <c r="B8" s="12" t="s">
        <v>15</v>
      </c>
      <c r="C8" s="25">
        <v>1749</v>
      </c>
      <c r="D8" s="5">
        <f>ROUND('Total citation'!D8-'Total citation'!C8, 2)</f>
        <v>2</v>
      </c>
    </row>
    <row r="9" spans="1:14" ht="25.15" customHeight="1">
      <c r="A9" s="11" t="s">
        <v>16</v>
      </c>
      <c r="B9" s="10" t="s">
        <v>17</v>
      </c>
      <c r="C9" s="6">
        <v>1389</v>
      </c>
      <c r="D9" s="5">
        <f>ROUND('Total citation'!D9-'Total citation'!C9, 2)</f>
        <v>1</v>
      </c>
    </row>
    <row r="10" spans="1:14" ht="25.15" customHeight="1">
      <c r="A10" s="11" t="s">
        <v>18</v>
      </c>
      <c r="B10" s="13" t="s">
        <v>19</v>
      </c>
      <c r="C10" s="24">
        <v>1985</v>
      </c>
      <c r="D10" s="5">
        <f>ROUND('Total citation'!D10-'Total citation'!C10, 2)</f>
        <v>-31</v>
      </c>
    </row>
    <row r="11" spans="1:14" ht="25.15" customHeight="1">
      <c r="A11" s="14" t="s">
        <v>20</v>
      </c>
      <c r="B11" s="14" t="s">
        <v>21</v>
      </c>
      <c r="C11" s="6">
        <v>136</v>
      </c>
      <c r="D11" s="5">
        <f>ROUND('Total citation'!D11-'Total citation'!C11, 2)</f>
        <v>4</v>
      </c>
    </row>
    <row r="12" spans="1:14" ht="25.15" customHeight="1">
      <c r="A12" s="12" t="s">
        <v>22</v>
      </c>
      <c r="B12" s="10"/>
      <c r="C12" s="6"/>
      <c r="D12" s="5">
        <f>ROUND('Total citation'!D12-'Total citation'!C12, 2)</f>
        <v>0</v>
      </c>
    </row>
    <row r="13" spans="1:14" ht="25.15" customHeight="1">
      <c r="A13" s="14" t="s">
        <v>23</v>
      </c>
      <c r="B13" s="14" t="s">
        <v>24</v>
      </c>
      <c r="C13" s="6">
        <v>266</v>
      </c>
      <c r="D13" s="5">
        <f>ROUND('Total citation'!D13-'Total citation'!C13, 2)</f>
        <v>-2</v>
      </c>
    </row>
    <row r="14" spans="1:14" ht="33.75" customHeight="1">
      <c r="A14" s="14" t="s">
        <v>25</v>
      </c>
      <c r="B14" s="14" t="s">
        <v>26</v>
      </c>
      <c r="C14" s="6">
        <v>768</v>
      </c>
      <c r="D14" s="5">
        <f>ROUND('Total citation'!D14-'Total citation'!C14, 2)</f>
        <v>-7</v>
      </c>
    </row>
    <row r="15" spans="1:14" ht="25.15" customHeight="1">
      <c r="A15" s="14" t="s">
        <v>27</v>
      </c>
      <c r="B15" s="14" t="s">
        <v>28</v>
      </c>
      <c r="C15" s="6">
        <v>58</v>
      </c>
      <c r="D15" s="5">
        <f>ROUND('Total citation'!D15-'Total citation'!C15, 2)</f>
        <v>-3</v>
      </c>
    </row>
    <row r="16" spans="1:14" ht="25.15" customHeight="1">
      <c r="A16" s="14" t="s">
        <v>29</v>
      </c>
      <c r="B16" s="14" t="s">
        <v>30</v>
      </c>
      <c r="C16" s="6">
        <v>44</v>
      </c>
      <c r="D16" s="5">
        <f>ROUND('Total citation'!D16-'Total citation'!C16, 2)</f>
        <v>4</v>
      </c>
    </row>
    <row r="17" spans="1:7" ht="25.15" customHeight="1">
      <c r="A17" s="14" t="s">
        <v>31</v>
      </c>
      <c r="B17" s="14" t="s">
        <v>32</v>
      </c>
      <c r="C17" s="6">
        <v>1206</v>
      </c>
      <c r="D17" s="5">
        <f>ROUND('Total citation'!D17-'Total citation'!C17, 2)</f>
        <v>16</v>
      </c>
      <c r="G17" s="16" t="s">
        <v>33</v>
      </c>
    </row>
    <row r="18" spans="1:7" ht="25.15" customHeight="1">
      <c r="A18" s="14" t="s">
        <v>34</v>
      </c>
      <c r="B18" s="20" t="s">
        <v>35</v>
      </c>
      <c r="C18" s="6">
        <v>96</v>
      </c>
      <c r="D18" s="5">
        <f>ROUND('Total citation'!D18-'Total citation'!C18, 2)</f>
        <v>8</v>
      </c>
    </row>
    <row r="19" spans="1:7" ht="25.15" customHeight="1">
      <c r="A19" s="14" t="s">
        <v>36</v>
      </c>
      <c r="B19" s="14" t="s">
        <v>37</v>
      </c>
      <c r="C19" s="6">
        <v>921</v>
      </c>
      <c r="D19" s="5">
        <f>ROUND('Total citation'!D19-'Total citation'!C19, 2)</f>
        <v>-16</v>
      </c>
    </row>
    <row r="20" spans="1:7" ht="25.15" customHeight="1">
      <c r="A20" s="14" t="s">
        <v>38</v>
      </c>
      <c r="B20" s="14" t="s">
        <v>39</v>
      </c>
      <c r="C20" s="6">
        <v>845</v>
      </c>
      <c r="D20" s="5">
        <f>ROUND('Total citation'!D20-'Total citation'!C20, 2)</f>
        <v>13</v>
      </c>
      <c r="G20" t="s">
        <v>40</v>
      </c>
    </row>
    <row r="21" spans="1:7" ht="25.15" customHeight="1">
      <c r="A21" s="12" t="s">
        <v>41</v>
      </c>
      <c r="B21" s="10" t="s">
        <v>42</v>
      </c>
      <c r="C21" s="6">
        <v>24</v>
      </c>
      <c r="D21" s="5">
        <f>ROUND('Total citation'!D21-'Total citation'!C21, 2)</f>
        <v>1</v>
      </c>
    </row>
    <row r="22" spans="1:7" ht="25.15" customHeight="1">
      <c r="A22" s="14" t="s">
        <v>43</v>
      </c>
      <c r="B22" s="14" t="s">
        <v>44</v>
      </c>
      <c r="C22" s="6">
        <v>149</v>
      </c>
      <c r="D22" s="5">
        <f>ROUND('Total citation'!D22-'Total citation'!C22, 2)</f>
        <v>0</v>
      </c>
    </row>
    <row r="23" spans="1:7" ht="25.15" customHeight="1">
      <c r="A23" s="14" t="s">
        <v>45</v>
      </c>
      <c r="B23" s="14" t="s">
        <v>46</v>
      </c>
      <c r="C23" s="6">
        <v>154</v>
      </c>
      <c r="D23" s="5">
        <f>ROUND('Total citation'!D23-'Total citation'!C23, 2)</f>
        <v>0</v>
      </c>
    </row>
    <row r="25" spans="1:7">
      <c r="A25" t="s">
        <v>47</v>
      </c>
      <c r="B25" s="22"/>
    </row>
    <row r="26" spans="1:7">
      <c r="A26" t="s">
        <v>48</v>
      </c>
      <c r="B26" s="23"/>
    </row>
    <row r="27" spans="1:7">
      <c r="A27" t="s">
        <v>49</v>
      </c>
      <c r="B27" s="21"/>
    </row>
  </sheetData>
  <mergeCells count="1">
    <mergeCell ref="A1:B1"/>
  </mergeCells>
  <phoneticPr fontId="1"/>
  <hyperlinks>
    <hyperlink ref="C1" r:id="rId1" xr:uid="{8DBF9B34-9D99-40AC-BAEF-AA5BC56EFA7C}"/>
    <hyperlink ref="B18" r:id="rId2" xr:uid="{AF7D9CAA-DD1C-40E5-B64F-47142CA68214}"/>
  </hyperlinks>
  <printOptions horizontalCentered="1"/>
  <pageMargins left="0.11811023622047245" right="0.11811023622047245" top="0.55118110236220474" bottom="0.55118110236220474" header="0.31496062992125984" footer="0.31496062992125984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92FE-F9F2-408F-924D-22ED684D1A1F}">
  <dimension ref="A2:D23"/>
  <sheetViews>
    <sheetView workbookViewId="0">
      <selection activeCell="C7" sqref="C7"/>
    </sheetView>
  </sheetViews>
  <sheetFormatPr defaultRowHeight="18"/>
  <cols>
    <col min="1" max="1" width="14.75" customWidth="1"/>
    <col min="2" max="2" width="25.625" customWidth="1"/>
  </cols>
  <sheetData>
    <row r="2" spans="1:4">
      <c r="A2" s="1"/>
      <c r="B2" s="1"/>
      <c r="C2" s="15" t="s">
        <v>50</v>
      </c>
      <c r="D2" s="4"/>
    </row>
    <row r="3" spans="1:4">
      <c r="B3" t="s">
        <v>2</v>
      </c>
      <c r="C3" s="3" t="s">
        <v>3</v>
      </c>
      <c r="D3" s="3" t="s">
        <v>6</v>
      </c>
    </row>
    <row r="4" spans="1:4">
      <c r="A4" s="7" t="s">
        <v>7</v>
      </c>
      <c r="B4" s="8" t="s">
        <v>8</v>
      </c>
      <c r="C4" s="25">
        <v>18</v>
      </c>
      <c r="D4" s="5"/>
    </row>
    <row r="5" spans="1:4">
      <c r="A5" s="9" t="s">
        <v>9</v>
      </c>
      <c r="B5" s="10"/>
      <c r="C5" s="6"/>
      <c r="D5" s="5"/>
    </row>
    <row r="6" spans="1:4" ht="19.5" customHeight="1">
      <c r="A6" s="11" t="s">
        <v>10</v>
      </c>
      <c r="B6" s="12" t="s">
        <v>11</v>
      </c>
      <c r="C6" s="26">
        <v>17</v>
      </c>
      <c r="D6" s="5"/>
    </row>
    <row r="7" spans="1:4" ht="16.5" customHeight="1">
      <c r="A7" s="11" t="s">
        <v>12</v>
      </c>
      <c r="B7" s="12" t="s">
        <v>13</v>
      </c>
      <c r="C7" s="31">
        <v>11</v>
      </c>
      <c r="D7" s="5"/>
    </row>
    <row r="8" spans="1:4" ht="18.75" customHeight="1">
      <c r="A8" s="11" t="s">
        <v>14</v>
      </c>
      <c r="B8" s="12" t="s">
        <v>15</v>
      </c>
      <c r="C8" s="6">
        <v>14</v>
      </c>
      <c r="D8" s="5"/>
    </row>
    <row r="9" spans="1:4" ht="19.5" customHeight="1">
      <c r="A9" s="11" t="s">
        <v>16</v>
      </c>
      <c r="B9" s="10" t="s">
        <v>17</v>
      </c>
      <c r="C9" s="28">
        <v>18</v>
      </c>
      <c r="D9" s="5"/>
    </row>
    <row r="10" spans="1:4">
      <c r="A10" s="11" t="s">
        <v>18</v>
      </c>
      <c r="B10" s="13" t="s">
        <v>19</v>
      </c>
      <c r="C10" s="27">
        <v>19</v>
      </c>
      <c r="D10" s="5"/>
    </row>
    <row r="11" spans="1:4" ht="21" customHeight="1">
      <c r="A11" s="14" t="s">
        <v>20</v>
      </c>
      <c r="B11" s="14" t="s">
        <v>21</v>
      </c>
      <c r="C11" s="6">
        <v>6</v>
      </c>
      <c r="D11" s="5"/>
    </row>
    <row r="12" spans="1:4">
      <c r="A12" s="12" t="s">
        <v>22</v>
      </c>
      <c r="B12" s="10"/>
      <c r="C12" s="6"/>
      <c r="D12" s="5"/>
    </row>
    <row r="13" spans="1:4" ht="15" customHeight="1">
      <c r="A13" s="14" t="s">
        <v>23</v>
      </c>
      <c r="B13" s="14" t="s">
        <v>24</v>
      </c>
      <c r="C13" s="6">
        <v>8</v>
      </c>
      <c r="D13" s="5"/>
    </row>
    <row r="14" spans="1:4" ht="20.25" customHeight="1">
      <c r="A14" s="14" t="s">
        <v>25</v>
      </c>
      <c r="B14" s="14" t="s">
        <v>26</v>
      </c>
      <c r="C14" s="6">
        <v>14</v>
      </c>
      <c r="D14" s="5"/>
    </row>
    <row r="15" spans="1:4" ht="16.5" customHeight="1">
      <c r="A15" s="14" t="s">
        <v>27</v>
      </c>
      <c r="B15" s="14" t="s">
        <v>28</v>
      </c>
      <c r="C15" s="6">
        <v>4</v>
      </c>
      <c r="D15" s="5"/>
    </row>
    <row r="16" spans="1:4" ht="16.5" customHeight="1">
      <c r="A16" s="14" t="s">
        <v>29</v>
      </c>
      <c r="B16" s="14" t="s">
        <v>30</v>
      </c>
      <c r="C16" s="6">
        <v>4</v>
      </c>
      <c r="D16" s="5"/>
    </row>
    <row r="17" spans="1:4" ht="21.75" customHeight="1">
      <c r="A17" s="14" t="s">
        <v>31</v>
      </c>
      <c r="B17" s="14" t="s">
        <v>32</v>
      </c>
      <c r="C17" s="26">
        <v>17</v>
      </c>
      <c r="D17" s="16"/>
    </row>
    <row r="18" spans="1:4" ht="18.75" customHeight="1">
      <c r="A18" s="14" t="s">
        <v>34</v>
      </c>
      <c r="B18" s="14" t="s">
        <v>35</v>
      </c>
      <c r="C18" s="6">
        <v>7</v>
      </c>
      <c r="D18" s="5"/>
    </row>
    <row r="19" spans="1:4">
      <c r="A19" s="14" t="s">
        <v>36</v>
      </c>
      <c r="B19" s="14" t="s">
        <v>37</v>
      </c>
      <c r="C19" s="6">
        <v>7</v>
      </c>
      <c r="D19" s="5"/>
    </row>
    <row r="20" spans="1:4" ht="15" customHeight="1">
      <c r="A20" s="14" t="s">
        <v>38</v>
      </c>
      <c r="B20" s="14" t="s">
        <v>39</v>
      </c>
      <c r="C20" s="6">
        <v>12</v>
      </c>
      <c r="D20" s="18"/>
    </row>
    <row r="21" spans="1:4" ht="18" customHeight="1">
      <c r="A21" s="12" t="s">
        <v>41</v>
      </c>
      <c r="B21" s="10" t="s">
        <v>42</v>
      </c>
      <c r="C21" s="6">
        <v>3</v>
      </c>
      <c r="D21" s="5"/>
    </row>
    <row r="22" spans="1:4" ht="18.75" customHeight="1">
      <c r="A22" s="14" t="s">
        <v>43</v>
      </c>
      <c r="B22" s="14" t="s">
        <v>44</v>
      </c>
      <c r="C22" s="6">
        <v>5</v>
      </c>
      <c r="D22" s="5"/>
    </row>
    <row r="23" spans="1:4" ht="18" customHeight="1">
      <c r="A23" s="14" t="s">
        <v>45</v>
      </c>
      <c r="B23" s="14" t="s">
        <v>46</v>
      </c>
      <c r="C23" s="6"/>
      <c r="D23" s="5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0B18-FF6B-41D7-A54B-19D80759D52F}">
  <dimension ref="A2:D23"/>
  <sheetViews>
    <sheetView workbookViewId="0">
      <selection activeCell="D12" sqref="D12"/>
    </sheetView>
  </sheetViews>
  <sheetFormatPr defaultRowHeight="18"/>
  <cols>
    <col min="1" max="1" width="17.125" customWidth="1"/>
    <col min="2" max="2" width="23.625" customWidth="1"/>
  </cols>
  <sheetData>
    <row r="2" spans="1:4">
      <c r="A2" s="1"/>
      <c r="B2" s="1"/>
      <c r="C2" s="15" t="s">
        <v>51</v>
      </c>
      <c r="D2" s="4"/>
    </row>
    <row r="3" spans="1:4">
      <c r="B3" t="s">
        <v>2</v>
      </c>
      <c r="C3" s="3" t="s">
        <v>3</v>
      </c>
      <c r="D3" s="3" t="s">
        <v>6</v>
      </c>
    </row>
    <row r="4" spans="1:4">
      <c r="A4" s="7" t="s">
        <v>7</v>
      </c>
      <c r="B4" s="8" t="s">
        <v>8</v>
      </c>
      <c r="C4" s="27">
        <v>39</v>
      </c>
      <c r="D4" s="5"/>
    </row>
    <row r="5" spans="1:4">
      <c r="A5" s="9" t="s">
        <v>9</v>
      </c>
      <c r="B5" s="10"/>
      <c r="C5" s="6"/>
      <c r="D5" s="5"/>
    </row>
    <row r="6" spans="1:4" ht="20.25" customHeight="1">
      <c r="A6" s="11" t="s">
        <v>10</v>
      </c>
      <c r="B6" s="12" t="s">
        <v>11</v>
      </c>
      <c r="C6" s="26">
        <v>34</v>
      </c>
      <c r="D6" s="5"/>
    </row>
    <row r="7" spans="1:4" ht="16.5" customHeight="1">
      <c r="A7" s="11" t="s">
        <v>12</v>
      </c>
      <c r="B7" s="12" t="s">
        <v>13</v>
      </c>
      <c r="C7" s="6">
        <v>13</v>
      </c>
      <c r="D7" s="5"/>
    </row>
    <row r="8" spans="1:4" ht="18.75" customHeight="1">
      <c r="A8" s="11" t="s">
        <v>14</v>
      </c>
      <c r="B8" s="12" t="s">
        <v>15</v>
      </c>
      <c r="C8" s="6">
        <v>16</v>
      </c>
      <c r="D8" s="5"/>
    </row>
    <row r="9" spans="1:4" ht="15.75" customHeight="1">
      <c r="A9" s="11" t="s">
        <v>16</v>
      </c>
      <c r="B9" s="10" t="s">
        <v>17</v>
      </c>
      <c r="C9" s="28">
        <v>38</v>
      </c>
      <c r="D9" s="5"/>
    </row>
    <row r="10" spans="1:4">
      <c r="A10" s="11" t="s">
        <v>18</v>
      </c>
      <c r="B10" s="13" t="s">
        <v>19</v>
      </c>
      <c r="C10" s="6">
        <v>28</v>
      </c>
      <c r="D10" s="5"/>
    </row>
    <row r="11" spans="1:4" ht="18" customHeight="1">
      <c r="A11" s="14" t="s">
        <v>20</v>
      </c>
      <c r="B11" s="14" t="s">
        <v>21</v>
      </c>
      <c r="C11" s="6">
        <v>2</v>
      </c>
      <c r="D11" s="5"/>
    </row>
    <row r="12" spans="1:4">
      <c r="A12" s="12" t="s">
        <v>22</v>
      </c>
      <c r="B12" s="10"/>
      <c r="C12" s="6"/>
      <c r="D12" s="5"/>
    </row>
    <row r="13" spans="1:4" ht="18.75" customHeight="1">
      <c r="A13" s="14" t="s">
        <v>23</v>
      </c>
      <c r="B13" s="14" t="s">
        <v>24</v>
      </c>
      <c r="C13" s="6">
        <v>8</v>
      </c>
      <c r="D13" s="5"/>
    </row>
    <row r="14" spans="1:4" ht="17.25" customHeight="1">
      <c r="A14" s="14" t="s">
        <v>25</v>
      </c>
      <c r="B14" s="14" t="s">
        <v>26</v>
      </c>
      <c r="C14" s="6">
        <v>14</v>
      </c>
      <c r="D14" s="5"/>
    </row>
    <row r="15" spans="1:4" ht="19.5" customHeight="1">
      <c r="A15" s="14" t="s">
        <v>27</v>
      </c>
      <c r="B15" s="14" t="s">
        <v>28</v>
      </c>
      <c r="C15" s="6">
        <v>1</v>
      </c>
      <c r="D15" s="5"/>
    </row>
    <row r="16" spans="1:4" ht="19.5" customHeight="1">
      <c r="A16" s="14" t="s">
        <v>29</v>
      </c>
      <c r="B16" s="14" t="s">
        <v>30</v>
      </c>
      <c r="C16" s="6">
        <v>2</v>
      </c>
      <c r="D16" s="5"/>
    </row>
    <row r="17" spans="1:4" ht="18.75" customHeight="1">
      <c r="A17" s="14" t="s">
        <v>31</v>
      </c>
      <c r="B17" s="14" t="s">
        <v>32</v>
      </c>
      <c r="C17" s="6">
        <v>28</v>
      </c>
      <c r="D17" s="16"/>
    </row>
    <row r="18" spans="1:4" ht="17.25" customHeight="1">
      <c r="A18" s="14" t="s">
        <v>34</v>
      </c>
      <c r="B18" s="14" t="s">
        <v>35</v>
      </c>
      <c r="C18" s="6">
        <v>3</v>
      </c>
      <c r="D18" s="5"/>
    </row>
    <row r="19" spans="1:4">
      <c r="A19" s="14" t="s">
        <v>36</v>
      </c>
      <c r="B19" s="14" t="s">
        <v>37</v>
      </c>
      <c r="C19" s="6">
        <v>2</v>
      </c>
      <c r="D19" s="5"/>
    </row>
    <row r="20" spans="1:4" ht="18.75" customHeight="1">
      <c r="A20" s="14" t="s">
        <v>38</v>
      </c>
      <c r="B20" s="14" t="s">
        <v>39</v>
      </c>
      <c r="C20" s="6">
        <v>13</v>
      </c>
      <c r="D20" s="18"/>
    </row>
    <row r="21" spans="1:4" ht="19.5" customHeight="1">
      <c r="A21" s="12" t="s">
        <v>41</v>
      </c>
      <c r="B21" s="10" t="s">
        <v>42</v>
      </c>
      <c r="C21" s="6">
        <v>0</v>
      </c>
      <c r="D21" s="5"/>
    </row>
    <row r="22" spans="1:4" ht="18.75" customHeight="1">
      <c r="A22" s="14" t="s">
        <v>43</v>
      </c>
      <c r="B22" s="14" t="s">
        <v>44</v>
      </c>
      <c r="C22" s="6">
        <v>1</v>
      </c>
      <c r="D22" s="5"/>
    </row>
    <row r="23" spans="1:4" ht="18.75" customHeight="1">
      <c r="A23" s="14" t="s">
        <v>45</v>
      </c>
      <c r="B23" s="14" t="s">
        <v>46</v>
      </c>
      <c r="C23" s="6"/>
      <c r="D23" s="5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00D9-FFCF-40F8-9543-8F9966ABFBAA}">
  <dimension ref="A1:F22"/>
  <sheetViews>
    <sheetView workbookViewId="0">
      <selection activeCell="B3" sqref="B3"/>
    </sheetView>
  </sheetViews>
  <sheetFormatPr defaultRowHeight="18"/>
  <cols>
    <col min="1" max="1" width="15.625" customWidth="1"/>
    <col min="2" max="2" width="22.375" bestFit="1" customWidth="1"/>
  </cols>
  <sheetData>
    <row r="1" spans="1:6">
      <c r="A1" s="1"/>
      <c r="B1" s="1"/>
      <c r="C1" s="15" t="s">
        <v>52</v>
      </c>
      <c r="D1" s="4"/>
    </row>
    <row r="2" spans="1:6">
      <c r="B2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7" t="s">
        <v>7</v>
      </c>
      <c r="B3" s="8" t="s">
        <v>8</v>
      </c>
      <c r="C3" s="28">
        <v>804</v>
      </c>
      <c r="D3" s="6">
        <v>819</v>
      </c>
      <c r="E3" s="32"/>
      <c r="F3" s="32"/>
    </row>
    <row r="4" spans="1:6">
      <c r="A4" s="9" t="s">
        <v>9</v>
      </c>
      <c r="B4" s="10"/>
      <c r="C4" s="6"/>
      <c r="D4" s="6"/>
      <c r="E4" s="32"/>
      <c r="F4" s="32"/>
    </row>
    <row r="5" spans="1:6">
      <c r="A5" s="11" t="s">
        <v>10</v>
      </c>
      <c r="B5" s="12" t="s">
        <v>11</v>
      </c>
      <c r="C5" s="6">
        <v>343</v>
      </c>
      <c r="D5" s="6">
        <v>345</v>
      </c>
      <c r="E5" s="32"/>
      <c r="F5" s="32"/>
    </row>
    <row r="6" spans="1:6">
      <c r="A6" s="11" t="s">
        <v>12</v>
      </c>
      <c r="B6" s="12" t="s">
        <v>13</v>
      </c>
      <c r="C6" s="6">
        <v>147</v>
      </c>
      <c r="D6" s="6">
        <v>147</v>
      </c>
      <c r="E6" s="32"/>
      <c r="F6" s="32"/>
    </row>
    <row r="7" spans="1:6">
      <c r="A7" s="11" t="s">
        <v>14</v>
      </c>
      <c r="B7" s="12" t="s">
        <v>15</v>
      </c>
      <c r="C7" s="6">
        <v>484</v>
      </c>
      <c r="D7" s="6">
        <v>486</v>
      </c>
      <c r="E7" s="32"/>
      <c r="F7" s="32"/>
    </row>
    <row r="8" spans="1:6">
      <c r="A8" s="11" t="s">
        <v>16</v>
      </c>
      <c r="B8" s="10" t="s">
        <v>17</v>
      </c>
      <c r="C8" s="6">
        <v>190</v>
      </c>
      <c r="D8" s="6">
        <v>190</v>
      </c>
      <c r="E8" s="32"/>
      <c r="F8" s="32"/>
    </row>
    <row r="9" spans="1:6">
      <c r="A9" s="11" t="s">
        <v>18</v>
      </c>
      <c r="B9" s="13" t="s">
        <v>19</v>
      </c>
      <c r="C9" s="27">
        <v>1028</v>
      </c>
      <c r="D9" s="6">
        <v>1036</v>
      </c>
      <c r="E9" s="32"/>
      <c r="F9" s="32"/>
    </row>
    <row r="10" spans="1:6">
      <c r="A10" s="14" t="s">
        <v>20</v>
      </c>
      <c r="B10" s="14" t="s">
        <v>21</v>
      </c>
      <c r="C10" s="6">
        <v>79</v>
      </c>
      <c r="D10" s="6">
        <v>82</v>
      </c>
      <c r="E10" s="32"/>
      <c r="F10" s="32"/>
    </row>
    <row r="11" spans="1:6">
      <c r="A11" s="12" t="s">
        <v>22</v>
      </c>
      <c r="B11" s="10"/>
      <c r="C11" s="6"/>
      <c r="D11" s="6"/>
      <c r="E11" s="32"/>
      <c r="F11" s="32"/>
    </row>
    <row r="12" spans="1:6">
      <c r="A12" s="14" t="s">
        <v>23</v>
      </c>
      <c r="B12" s="14" t="s">
        <v>24</v>
      </c>
      <c r="C12" s="6">
        <v>167</v>
      </c>
      <c r="D12" s="6">
        <v>170</v>
      </c>
      <c r="E12" s="32"/>
      <c r="F12" s="32"/>
    </row>
    <row r="13" spans="1:6" ht="36">
      <c r="A13" s="14" t="s">
        <v>25</v>
      </c>
      <c r="B13" s="14" t="s">
        <v>26</v>
      </c>
      <c r="C13" s="6">
        <v>139</v>
      </c>
      <c r="D13" s="6">
        <v>139</v>
      </c>
      <c r="E13" s="32"/>
      <c r="F13" s="32"/>
    </row>
    <row r="14" spans="1:6">
      <c r="A14" s="14" t="s">
        <v>27</v>
      </c>
      <c r="B14" s="14" t="s">
        <v>28</v>
      </c>
      <c r="C14" s="6">
        <v>51</v>
      </c>
      <c r="D14" s="6">
        <v>51</v>
      </c>
      <c r="E14" s="32"/>
      <c r="F14" s="32"/>
    </row>
    <row r="15" spans="1:6">
      <c r="A15" s="14" t="s">
        <v>29</v>
      </c>
      <c r="B15" s="14" t="s">
        <v>30</v>
      </c>
      <c r="C15" s="6">
        <v>44</v>
      </c>
      <c r="D15" s="6">
        <v>45</v>
      </c>
      <c r="E15" s="32"/>
      <c r="F15" s="32"/>
    </row>
    <row r="16" spans="1:6">
      <c r="A16" s="14" t="s">
        <v>31</v>
      </c>
      <c r="B16" s="14" t="s">
        <v>32</v>
      </c>
      <c r="C16" s="6">
        <v>168</v>
      </c>
      <c r="D16" s="6">
        <v>168</v>
      </c>
      <c r="E16" s="32"/>
      <c r="F16" s="32"/>
    </row>
    <row r="17" spans="1:6">
      <c r="A17" s="14" t="s">
        <v>34</v>
      </c>
      <c r="B17" s="14" t="s">
        <v>35</v>
      </c>
      <c r="C17" s="6">
        <v>94</v>
      </c>
      <c r="D17" s="6">
        <v>103</v>
      </c>
      <c r="E17" s="32"/>
      <c r="F17" s="32"/>
    </row>
    <row r="18" spans="1:6">
      <c r="A18" s="14" t="s">
        <v>36</v>
      </c>
      <c r="B18" s="14" t="s">
        <v>37</v>
      </c>
      <c r="C18" s="26">
        <v>672</v>
      </c>
      <c r="D18" s="6">
        <v>682</v>
      </c>
      <c r="E18" s="32"/>
      <c r="F18" s="32"/>
    </row>
    <row r="19" spans="1:6">
      <c r="A19" s="14" t="s">
        <v>38</v>
      </c>
      <c r="B19" s="14" t="s">
        <v>39</v>
      </c>
      <c r="C19" s="6">
        <v>247</v>
      </c>
      <c r="D19" s="6">
        <v>247</v>
      </c>
      <c r="E19" s="32"/>
      <c r="F19" s="32"/>
    </row>
    <row r="20" spans="1:6">
      <c r="A20" s="12" t="s">
        <v>41</v>
      </c>
      <c r="B20" s="10" t="s">
        <v>42</v>
      </c>
      <c r="C20" s="6">
        <v>15</v>
      </c>
      <c r="D20" s="6">
        <v>15</v>
      </c>
      <c r="E20" s="32"/>
      <c r="F20" s="32"/>
    </row>
    <row r="21" spans="1:6" ht="36">
      <c r="A21" s="14" t="s">
        <v>43</v>
      </c>
      <c r="B21" s="14" t="s">
        <v>44</v>
      </c>
      <c r="C21" s="6">
        <v>20</v>
      </c>
      <c r="D21" s="6"/>
      <c r="E21" s="32"/>
      <c r="F21" s="32"/>
    </row>
    <row r="22" spans="1:6">
      <c r="A22" s="14" t="s">
        <v>45</v>
      </c>
      <c r="B22" s="14" t="s">
        <v>46</v>
      </c>
      <c r="C22" s="6"/>
      <c r="D22" s="6"/>
      <c r="E22" s="32"/>
      <c r="F22" s="32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4981-B369-4387-B533-5B053DFFC18F}">
  <dimension ref="A1:D22"/>
  <sheetViews>
    <sheetView workbookViewId="0">
      <selection activeCell="G8" sqref="G8"/>
    </sheetView>
  </sheetViews>
  <sheetFormatPr defaultRowHeight="18"/>
  <cols>
    <col min="1" max="1" width="17.875" customWidth="1"/>
    <col min="2" max="2" width="29.625" customWidth="1"/>
  </cols>
  <sheetData>
    <row r="1" spans="1:4">
      <c r="A1" s="1"/>
      <c r="B1" s="1"/>
      <c r="C1" s="15" t="s">
        <v>50</v>
      </c>
      <c r="D1" s="4"/>
    </row>
    <row r="2" spans="1:4">
      <c r="B2" t="s">
        <v>2</v>
      </c>
      <c r="C2" s="3" t="s">
        <v>3</v>
      </c>
      <c r="D2" s="3" t="s">
        <v>6</v>
      </c>
    </row>
    <row r="3" spans="1:4">
      <c r="A3" s="7" t="s">
        <v>7</v>
      </c>
      <c r="B3" s="8" t="s">
        <v>8</v>
      </c>
      <c r="C3" s="24">
        <v>14</v>
      </c>
      <c r="D3" s="5"/>
    </row>
    <row r="4" spans="1:4">
      <c r="A4" s="9" t="s">
        <v>9</v>
      </c>
      <c r="B4" s="10"/>
      <c r="C4" s="6"/>
      <c r="D4" s="5"/>
    </row>
    <row r="5" spans="1:4">
      <c r="A5" s="11" t="s">
        <v>10</v>
      </c>
      <c r="B5" s="12" t="s">
        <v>11</v>
      </c>
      <c r="C5" s="26">
        <v>10</v>
      </c>
      <c r="D5" s="5"/>
    </row>
    <row r="6" spans="1:4">
      <c r="A6" s="11" t="s">
        <v>12</v>
      </c>
      <c r="B6" s="12" t="s">
        <v>13</v>
      </c>
      <c r="C6" s="6">
        <v>7</v>
      </c>
      <c r="D6" s="5"/>
    </row>
    <row r="7" spans="1:4">
      <c r="A7" s="11" t="s">
        <v>14</v>
      </c>
      <c r="B7" s="12" t="s">
        <v>15</v>
      </c>
      <c r="C7" s="6">
        <v>7</v>
      </c>
      <c r="D7" s="5"/>
    </row>
    <row r="8" spans="1:4">
      <c r="A8" s="11" t="s">
        <v>16</v>
      </c>
      <c r="B8" s="10" t="s">
        <v>17</v>
      </c>
      <c r="C8" s="6">
        <v>6</v>
      </c>
      <c r="D8" s="5"/>
    </row>
    <row r="9" spans="1:4">
      <c r="A9" s="11" t="s">
        <v>18</v>
      </c>
      <c r="B9" s="13" t="s">
        <v>19</v>
      </c>
      <c r="C9" s="28">
        <v>11</v>
      </c>
      <c r="D9" s="5"/>
    </row>
    <row r="10" spans="1:4">
      <c r="A10" s="14" t="s">
        <v>20</v>
      </c>
      <c r="B10" s="14" t="s">
        <v>21</v>
      </c>
      <c r="C10" s="6">
        <v>5</v>
      </c>
      <c r="D10" s="5"/>
    </row>
    <row r="11" spans="1:4">
      <c r="A11" s="12" t="s">
        <v>22</v>
      </c>
      <c r="B11" s="10"/>
      <c r="C11" s="6"/>
      <c r="D11" s="5"/>
    </row>
    <row r="12" spans="1:4">
      <c r="A12" s="14" t="s">
        <v>23</v>
      </c>
      <c r="B12" s="14" t="s">
        <v>24</v>
      </c>
      <c r="C12" s="6">
        <v>6</v>
      </c>
      <c r="D12" s="5"/>
    </row>
    <row r="13" spans="1:4">
      <c r="A13" s="14" t="s">
        <v>25</v>
      </c>
      <c r="B13" s="14" t="s">
        <v>26</v>
      </c>
      <c r="C13" s="6">
        <v>4</v>
      </c>
      <c r="D13" s="5"/>
    </row>
    <row r="14" spans="1:4">
      <c r="A14" s="14" t="s">
        <v>27</v>
      </c>
      <c r="B14" s="14" t="s">
        <v>28</v>
      </c>
      <c r="C14" s="6">
        <v>4</v>
      </c>
      <c r="D14" s="5"/>
    </row>
    <row r="15" spans="1:4">
      <c r="A15" s="14" t="s">
        <v>29</v>
      </c>
      <c r="B15" s="14" t="s">
        <v>30</v>
      </c>
      <c r="C15" s="6">
        <v>4</v>
      </c>
      <c r="D15" s="5"/>
    </row>
    <row r="16" spans="1:4">
      <c r="A16" s="14" t="s">
        <v>31</v>
      </c>
      <c r="B16" s="14" t="s">
        <v>32</v>
      </c>
      <c r="C16" s="6">
        <v>7</v>
      </c>
      <c r="D16" s="16"/>
    </row>
    <row r="17" spans="1:4">
      <c r="A17" s="14" t="s">
        <v>34</v>
      </c>
      <c r="B17" s="14" t="s">
        <v>35</v>
      </c>
      <c r="C17" s="6">
        <v>7</v>
      </c>
      <c r="D17" s="5"/>
    </row>
    <row r="18" spans="1:4">
      <c r="A18" s="14" t="s">
        <v>36</v>
      </c>
      <c r="B18" s="14" t="s">
        <v>37</v>
      </c>
      <c r="C18" s="6">
        <v>6</v>
      </c>
      <c r="D18" s="5"/>
    </row>
    <row r="19" spans="1:4" ht="19.149999999999999">
      <c r="A19" s="14" t="s">
        <v>38</v>
      </c>
      <c r="B19" s="14" t="s">
        <v>39</v>
      </c>
      <c r="C19" s="6">
        <v>6</v>
      </c>
      <c r="D19" s="18"/>
    </row>
    <row r="20" spans="1:4">
      <c r="A20" s="12" t="s">
        <v>41</v>
      </c>
      <c r="B20" s="10" t="s">
        <v>42</v>
      </c>
      <c r="C20" s="6">
        <v>3</v>
      </c>
      <c r="D20" s="5"/>
    </row>
    <row r="21" spans="1:4">
      <c r="A21" s="14" t="s">
        <v>43</v>
      </c>
      <c r="B21" s="14" t="s">
        <v>44</v>
      </c>
      <c r="C21" s="6">
        <v>2</v>
      </c>
      <c r="D21" s="5"/>
    </row>
    <row r="22" spans="1:4">
      <c r="A22" s="14" t="s">
        <v>45</v>
      </c>
      <c r="B22" s="14" t="s">
        <v>46</v>
      </c>
      <c r="C22" s="6"/>
      <c r="D22" s="5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F41B-01BA-464B-B142-3F69ECB94022}">
  <dimension ref="A2:D23"/>
  <sheetViews>
    <sheetView workbookViewId="0">
      <selection activeCell="C8" sqref="C8"/>
    </sheetView>
  </sheetViews>
  <sheetFormatPr defaultRowHeight="18"/>
  <cols>
    <col min="1" max="1" width="18.5" customWidth="1"/>
    <col min="2" max="2" width="31.5" customWidth="1"/>
  </cols>
  <sheetData>
    <row r="2" spans="1:4">
      <c r="A2" s="1"/>
      <c r="B2" s="1"/>
      <c r="C2" s="15" t="s">
        <v>53</v>
      </c>
      <c r="D2" s="4"/>
    </row>
    <row r="3" spans="1:4">
      <c r="B3" t="s">
        <v>2</v>
      </c>
      <c r="C3" s="3" t="s">
        <v>3</v>
      </c>
      <c r="D3" s="3" t="s">
        <v>6</v>
      </c>
    </row>
    <row r="4" spans="1:4">
      <c r="A4" s="7" t="s">
        <v>7</v>
      </c>
      <c r="B4" s="8" t="s">
        <v>8</v>
      </c>
      <c r="C4" s="29">
        <v>374</v>
      </c>
      <c r="D4" s="5"/>
    </row>
    <row r="5" spans="1:4">
      <c r="A5" s="9" t="s">
        <v>9</v>
      </c>
      <c r="B5" s="10"/>
      <c r="C5" s="6"/>
      <c r="D5" s="5"/>
    </row>
    <row r="6" spans="1:4">
      <c r="A6" s="11" t="s">
        <v>10</v>
      </c>
      <c r="B6" s="12" t="s">
        <v>11</v>
      </c>
      <c r="C6" s="27">
        <v>384</v>
      </c>
      <c r="D6" s="5"/>
    </row>
    <row r="7" spans="1:4">
      <c r="A7" s="11" t="s">
        <v>12</v>
      </c>
      <c r="B7" s="12" t="s">
        <v>13</v>
      </c>
      <c r="C7" s="6">
        <v>135</v>
      </c>
      <c r="D7" s="5"/>
    </row>
    <row r="8" spans="1:4">
      <c r="A8" s="11" t="s">
        <v>14</v>
      </c>
      <c r="B8" s="12" t="s">
        <v>15</v>
      </c>
      <c r="C8" s="6">
        <v>77</v>
      </c>
      <c r="D8" s="5"/>
    </row>
    <row r="9" spans="1:4">
      <c r="A9" s="11" t="s">
        <v>16</v>
      </c>
      <c r="B9" s="10" t="s">
        <v>17</v>
      </c>
      <c r="C9" s="26">
        <v>210</v>
      </c>
      <c r="D9" s="5"/>
    </row>
    <row r="10" spans="1:4" ht="33" customHeight="1">
      <c r="A10" s="11" t="s">
        <v>18</v>
      </c>
      <c r="B10" s="13" t="s">
        <v>19</v>
      </c>
      <c r="C10" s="6">
        <v>151</v>
      </c>
      <c r="D10" s="5"/>
    </row>
    <row r="11" spans="1:4">
      <c r="A11" s="14" t="s">
        <v>20</v>
      </c>
      <c r="B11" s="14" t="s">
        <v>21</v>
      </c>
      <c r="C11" s="6">
        <v>101</v>
      </c>
      <c r="D11" s="5"/>
    </row>
    <row r="12" spans="1:4">
      <c r="A12" s="12" t="s">
        <v>22</v>
      </c>
      <c r="B12" s="10"/>
      <c r="C12" s="6"/>
      <c r="D12" s="5"/>
    </row>
    <row r="13" spans="1:4">
      <c r="A13" s="14" t="s">
        <v>23</v>
      </c>
      <c r="B13" s="14" t="s">
        <v>24</v>
      </c>
      <c r="C13" s="6">
        <v>93</v>
      </c>
      <c r="D13" s="5"/>
    </row>
    <row r="14" spans="1:4">
      <c r="A14" s="14" t="s">
        <v>25</v>
      </c>
      <c r="B14" s="14" t="s">
        <v>26</v>
      </c>
      <c r="C14" s="6">
        <v>84</v>
      </c>
      <c r="D14" s="5"/>
    </row>
    <row r="15" spans="1:4">
      <c r="A15" s="14" t="s">
        <v>27</v>
      </c>
      <c r="B15" s="14" t="s">
        <v>28</v>
      </c>
      <c r="C15" s="6">
        <v>14</v>
      </c>
      <c r="D15" s="5"/>
    </row>
    <row r="16" spans="1:4">
      <c r="A16" s="14" t="s">
        <v>29</v>
      </c>
      <c r="B16" s="14" t="s">
        <v>30</v>
      </c>
      <c r="C16" s="6">
        <v>11</v>
      </c>
      <c r="D16" s="5"/>
    </row>
    <row r="17" spans="1:4">
      <c r="A17" s="14" t="s">
        <v>31</v>
      </c>
      <c r="B17" s="14" t="s">
        <v>32</v>
      </c>
      <c r="C17" s="6">
        <v>97</v>
      </c>
      <c r="D17" s="16"/>
    </row>
    <row r="18" spans="1:4">
      <c r="A18" s="14" t="s">
        <v>34</v>
      </c>
      <c r="B18" s="14" t="s">
        <v>35</v>
      </c>
      <c r="C18" s="6">
        <v>13</v>
      </c>
      <c r="D18" s="5"/>
    </row>
    <row r="19" spans="1:4">
      <c r="A19" s="14" t="s">
        <v>36</v>
      </c>
      <c r="B19" s="14" t="s">
        <v>37</v>
      </c>
      <c r="C19" s="6">
        <v>45</v>
      </c>
      <c r="D19" s="5"/>
    </row>
    <row r="20" spans="1:4" ht="19.149999999999999">
      <c r="A20" s="14" t="s">
        <v>38</v>
      </c>
      <c r="B20" s="14" t="s">
        <v>39</v>
      </c>
      <c r="C20" s="6">
        <v>72</v>
      </c>
      <c r="D20" s="18"/>
    </row>
    <row r="21" spans="1:4">
      <c r="A21" s="12" t="s">
        <v>41</v>
      </c>
      <c r="B21" s="10" t="s">
        <v>42</v>
      </c>
      <c r="C21" s="6">
        <v>10</v>
      </c>
      <c r="D21" s="5"/>
    </row>
    <row r="22" spans="1:4">
      <c r="A22" s="14" t="s">
        <v>43</v>
      </c>
      <c r="B22" s="14" t="s">
        <v>44</v>
      </c>
      <c r="C22" s="6"/>
      <c r="D22" s="5"/>
    </row>
    <row r="23" spans="1:4">
      <c r="A23" s="14" t="s">
        <v>45</v>
      </c>
      <c r="B23" s="14" t="s">
        <v>46</v>
      </c>
      <c r="C23" s="6"/>
      <c r="D23" s="5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2E38-C959-4AC1-9185-0661F7EFD426}">
  <dimension ref="A1:D22"/>
  <sheetViews>
    <sheetView workbookViewId="0">
      <selection activeCell="C3" sqref="C3"/>
    </sheetView>
  </sheetViews>
  <sheetFormatPr defaultRowHeight="18"/>
  <cols>
    <col min="1" max="1" width="18.5" customWidth="1"/>
    <col min="2" max="2" width="26.625" customWidth="1"/>
    <col min="3" max="3" width="25.375" customWidth="1"/>
  </cols>
  <sheetData>
    <row r="1" spans="1:4">
      <c r="A1" s="1"/>
      <c r="B1" s="1"/>
      <c r="C1" s="15" t="s">
        <v>54</v>
      </c>
      <c r="D1" s="4"/>
    </row>
    <row r="2" spans="1:4">
      <c r="B2" t="s">
        <v>2</v>
      </c>
      <c r="C2" s="3" t="s">
        <v>3</v>
      </c>
      <c r="D2" s="3" t="s">
        <v>6</v>
      </c>
    </row>
    <row r="3" spans="1:4">
      <c r="A3" s="7" t="s">
        <v>7</v>
      </c>
      <c r="B3" s="8" t="s">
        <v>8</v>
      </c>
      <c r="C3" s="19">
        <f>ROUND('Total citation'!C4/'Number of publication'!C4, 2)</f>
        <v>3.48</v>
      </c>
      <c r="D3" s="5"/>
    </row>
    <row r="4" spans="1:4">
      <c r="A4" s="9" t="s">
        <v>9</v>
      </c>
      <c r="B4" s="10"/>
      <c r="C4" s="19"/>
      <c r="D4" s="5"/>
    </row>
    <row r="5" spans="1:4">
      <c r="A5" s="11" t="s">
        <v>10</v>
      </c>
      <c r="B5" s="12" t="s">
        <v>11</v>
      </c>
      <c r="C5" s="19">
        <f>ROUND('Total citation'!C6/'Number of publication'!C6, 2)</f>
        <v>2.4</v>
      </c>
      <c r="D5" s="5"/>
    </row>
    <row r="6" spans="1:4">
      <c r="A6" s="11" t="s">
        <v>12</v>
      </c>
      <c r="B6" s="12" t="s">
        <v>13</v>
      </c>
      <c r="C6" s="19">
        <f>ROUND('Total citation'!C7/'Number of publication'!C7, 2)</f>
        <v>2.63</v>
      </c>
      <c r="D6" s="5"/>
    </row>
    <row r="7" spans="1:4">
      <c r="A7" s="11" t="s">
        <v>14</v>
      </c>
      <c r="B7" s="12" t="s">
        <v>15</v>
      </c>
      <c r="C7" s="24">
        <f>ROUND('Total citation'!C8/'Number of publication'!C8, 2)</f>
        <v>22.71</v>
      </c>
      <c r="D7" s="5"/>
    </row>
    <row r="8" spans="1:4">
      <c r="A8" s="11" t="s">
        <v>16</v>
      </c>
      <c r="B8" s="10" t="s">
        <v>17</v>
      </c>
      <c r="C8" s="19">
        <f>ROUND('Total citation'!C9/'Number of publication'!C9, 2)</f>
        <v>6.61</v>
      </c>
      <c r="D8" s="5"/>
    </row>
    <row r="9" spans="1:4">
      <c r="A9" s="11" t="s">
        <v>18</v>
      </c>
      <c r="B9" s="13" t="s">
        <v>19</v>
      </c>
      <c r="C9" s="30">
        <f>ROUND('Total citation'!C10/'Number of publication'!C10, 2)</f>
        <v>13.15</v>
      </c>
      <c r="D9" s="5"/>
    </row>
    <row r="10" spans="1:4">
      <c r="A10" s="14" t="s">
        <v>20</v>
      </c>
      <c r="B10" s="14" t="s">
        <v>21</v>
      </c>
      <c r="C10" s="19">
        <f>ROUND('Total citation'!C11/'Number of publication'!C11, 2)</f>
        <v>1.35</v>
      </c>
      <c r="D10" s="5"/>
    </row>
    <row r="11" spans="1:4">
      <c r="A11" s="12" t="s">
        <v>22</v>
      </c>
      <c r="B11" s="10"/>
      <c r="C11" s="19"/>
      <c r="D11" s="5"/>
    </row>
    <row r="12" spans="1:4">
      <c r="A12" s="14" t="s">
        <v>23</v>
      </c>
      <c r="B12" s="14" t="s">
        <v>24</v>
      </c>
      <c r="C12" s="19">
        <f>ROUND('Total citation'!C13/'Number of publication'!C13, 2)</f>
        <v>2.86</v>
      </c>
      <c r="D12" s="5"/>
    </row>
    <row r="13" spans="1:4">
      <c r="A13" s="14" t="s">
        <v>25</v>
      </c>
      <c r="B13" s="14" t="s">
        <v>26</v>
      </c>
      <c r="C13" s="19">
        <f>ROUND('Total citation'!C14/'Number of publication'!C14, 2)</f>
        <v>9.14</v>
      </c>
      <c r="D13" s="5"/>
    </row>
    <row r="14" spans="1:4">
      <c r="A14" s="14" t="s">
        <v>27</v>
      </c>
      <c r="B14" s="14" t="s">
        <v>28</v>
      </c>
      <c r="C14" s="19">
        <f>ROUND('Total citation'!C15/'Number of publication'!C15, 2)</f>
        <v>4.1399999999999997</v>
      </c>
      <c r="D14" s="5"/>
    </row>
    <row r="15" spans="1:4">
      <c r="A15" s="14" t="s">
        <v>29</v>
      </c>
      <c r="B15" s="14" t="s">
        <v>30</v>
      </c>
      <c r="C15" s="19">
        <f>ROUND('Total citation'!C16/'Number of publication'!C16, 2)</f>
        <v>4</v>
      </c>
      <c r="D15" s="5"/>
    </row>
    <row r="16" spans="1:4">
      <c r="A16" s="14" t="s">
        <v>31</v>
      </c>
      <c r="B16" s="14" t="s">
        <v>32</v>
      </c>
      <c r="C16" s="19">
        <f>ROUND('Total citation'!C17/'Number of publication'!C17, 2)</f>
        <v>12.43</v>
      </c>
      <c r="D16" s="16"/>
    </row>
    <row r="17" spans="1:4">
      <c r="A17" s="14" t="s">
        <v>34</v>
      </c>
      <c r="B17" s="14" t="s">
        <v>35</v>
      </c>
      <c r="C17" s="19">
        <f>ROUND('Total citation'!C18/'Number of publication'!C18, 2)</f>
        <v>7.38</v>
      </c>
      <c r="D17" s="5"/>
    </row>
    <row r="18" spans="1:4">
      <c r="A18" s="14" t="s">
        <v>36</v>
      </c>
      <c r="B18" s="14" t="s">
        <v>37</v>
      </c>
      <c r="C18" s="29">
        <f>ROUND('Total citation'!C19/'Number of publication'!C19, 2)</f>
        <v>20.47</v>
      </c>
      <c r="D18" s="5"/>
    </row>
    <row r="19" spans="1:4" ht="19.149999999999999">
      <c r="A19" s="14" t="s">
        <v>38</v>
      </c>
      <c r="B19" s="14" t="s">
        <v>39</v>
      </c>
      <c r="C19" s="19">
        <f>ROUND('Total citation'!C20/'Number of publication'!C20, 2)</f>
        <v>11.74</v>
      </c>
      <c r="D19" s="18"/>
    </row>
    <row r="20" spans="1:4">
      <c r="A20" s="12" t="s">
        <v>41</v>
      </c>
      <c r="B20" s="10" t="s">
        <v>42</v>
      </c>
      <c r="C20" s="19">
        <f>ROUND('Total citation'!C21/'Number of publication'!C21, 2)</f>
        <v>2.4</v>
      </c>
      <c r="D20" s="5"/>
    </row>
    <row r="21" spans="1:4">
      <c r="A21" s="14" t="s">
        <v>43</v>
      </c>
      <c r="B21" s="14" t="s">
        <v>44</v>
      </c>
      <c r="C21" s="19"/>
      <c r="D21" s="5"/>
    </row>
    <row r="22" spans="1:4">
      <c r="A22" s="14" t="s">
        <v>45</v>
      </c>
      <c r="B22" s="14" t="s">
        <v>46</v>
      </c>
      <c r="C22" s="19"/>
      <c r="D22" s="5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03FF-F55C-4DBC-A265-656342B66A8A}">
  <dimension ref="A1:D22"/>
  <sheetViews>
    <sheetView workbookViewId="0"/>
  </sheetViews>
  <sheetFormatPr defaultRowHeight="18"/>
  <cols>
    <col min="2" max="2" width="26.625" customWidth="1"/>
    <col min="3" max="3" width="25.375" customWidth="1"/>
  </cols>
  <sheetData>
    <row r="1" spans="1:4">
      <c r="A1" s="1"/>
      <c r="B1" s="1"/>
      <c r="C1" s="15" t="s">
        <v>55</v>
      </c>
      <c r="D1" s="4"/>
    </row>
    <row r="2" spans="1:4">
      <c r="B2" t="s">
        <v>2</v>
      </c>
      <c r="C2" s="3" t="s">
        <v>3</v>
      </c>
      <c r="D2" s="3" t="s">
        <v>6</v>
      </c>
    </row>
    <row r="3" spans="1:4">
      <c r="A3" s="7" t="s">
        <v>7</v>
      </c>
      <c r="B3" s="8" t="s">
        <v>8</v>
      </c>
      <c r="C3" s="19">
        <f>ROUND('Total H-index'!C4/'Number of publication'!C4, 2)</f>
        <v>0.05</v>
      </c>
      <c r="D3" s="5"/>
    </row>
    <row r="4" spans="1:4">
      <c r="A4" s="9" t="s">
        <v>9</v>
      </c>
      <c r="B4" s="10"/>
      <c r="C4" s="19"/>
      <c r="D4" s="5"/>
    </row>
    <row r="5" spans="1:4">
      <c r="A5" s="11" t="s">
        <v>10</v>
      </c>
      <c r="B5" s="12" t="s">
        <v>11</v>
      </c>
      <c r="C5" s="19">
        <f>ROUND('Total H-index'!C6/'Number of publication'!C6, 2)</f>
        <v>0.04</v>
      </c>
      <c r="D5" s="5"/>
    </row>
    <row r="6" spans="1:4">
      <c r="A6" s="11" t="s">
        <v>12</v>
      </c>
      <c r="B6" s="12" t="s">
        <v>13</v>
      </c>
      <c r="C6" s="19">
        <f>ROUND('Total H-index'!C7/'Number of publication'!C7, 2)</f>
        <v>0.08</v>
      </c>
      <c r="D6" s="5"/>
    </row>
    <row r="7" spans="1:4">
      <c r="A7" s="11" t="s">
        <v>14</v>
      </c>
      <c r="B7" s="12" t="s">
        <v>15</v>
      </c>
      <c r="C7" s="19">
        <f>ROUND('Total H-index'!C8/'Number of publication'!C8, 2)</f>
        <v>0.18</v>
      </c>
      <c r="D7" s="5"/>
    </row>
    <row r="8" spans="1:4">
      <c r="A8" s="11" t="s">
        <v>16</v>
      </c>
      <c r="B8" s="10" t="s">
        <v>17</v>
      </c>
      <c r="C8" s="19">
        <f>ROUND('Total H-index'!C9/'Number of publication'!C9, 2)</f>
        <v>0.09</v>
      </c>
      <c r="D8" s="5"/>
    </row>
    <row r="9" spans="1:4">
      <c r="A9" s="11" t="s">
        <v>18</v>
      </c>
      <c r="B9" s="13" t="s">
        <v>19</v>
      </c>
      <c r="C9" s="19">
        <f>ROUND('Total H-index'!C10/'Number of publication'!C10, 2)</f>
        <v>0.13</v>
      </c>
      <c r="D9" s="5"/>
    </row>
    <row r="10" spans="1:4">
      <c r="A10" s="14" t="s">
        <v>20</v>
      </c>
      <c r="B10" s="14" t="s">
        <v>21</v>
      </c>
      <c r="C10" s="19">
        <f>ROUND('Total H-index'!C11/'Number of publication'!C11, 2)</f>
        <v>0.06</v>
      </c>
      <c r="D10" s="5"/>
    </row>
    <row r="11" spans="1:4">
      <c r="A11" s="12" t="s">
        <v>22</v>
      </c>
      <c r="B11" s="10"/>
      <c r="C11" s="19"/>
      <c r="D11" s="5"/>
    </row>
    <row r="12" spans="1:4" ht="36">
      <c r="A12" s="14" t="s">
        <v>23</v>
      </c>
      <c r="B12" s="14" t="s">
        <v>24</v>
      </c>
      <c r="C12" s="19">
        <f>ROUND('Total H-index'!C13/'Number of publication'!C13, 2)</f>
        <v>0.09</v>
      </c>
      <c r="D12" s="5"/>
    </row>
    <row r="13" spans="1:4">
      <c r="A13" s="14" t="s">
        <v>25</v>
      </c>
      <c r="B13" s="14" t="s">
        <v>26</v>
      </c>
      <c r="C13" s="19">
        <f>ROUND('Total H-index'!C14/'Number of publication'!C14, 2)</f>
        <v>0.17</v>
      </c>
      <c r="D13" s="5"/>
    </row>
    <row r="14" spans="1:4" ht="54">
      <c r="A14" s="14" t="s">
        <v>27</v>
      </c>
      <c r="B14" s="14" t="s">
        <v>28</v>
      </c>
      <c r="C14" s="30">
        <f>ROUND('Total H-index'!C15/'Number of publication'!C15, 2)</f>
        <v>0.28999999999999998</v>
      </c>
      <c r="D14" s="5"/>
    </row>
    <row r="15" spans="1:4" ht="36">
      <c r="A15" s="14" t="s">
        <v>29</v>
      </c>
      <c r="B15" s="14" t="s">
        <v>30</v>
      </c>
      <c r="C15" s="29">
        <f>ROUND('Total H-index'!C16/'Number of publication'!C16, 2)</f>
        <v>0.36</v>
      </c>
      <c r="D15" s="5"/>
    </row>
    <row r="16" spans="1:4">
      <c r="A16" s="14" t="s">
        <v>31</v>
      </c>
      <c r="B16" s="14" t="s">
        <v>32</v>
      </c>
      <c r="C16" s="19">
        <f>ROUND('Total H-index'!C17/'Number of publication'!C17, 2)</f>
        <v>0.18</v>
      </c>
      <c r="D16" s="16"/>
    </row>
    <row r="17" spans="1:4">
      <c r="A17" s="14" t="s">
        <v>34</v>
      </c>
      <c r="B17" s="14" t="s">
        <v>35</v>
      </c>
      <c r="C17" s="24">
        <f>ROUND('Total H-index'!C18/'Number of publication'!C18, 2)</f>
        <v>0.54</v>
      </c>
      <c r="D17" s="5"/>
    </row>
    <row r="18" spans="1:4">
      <c r="A18" s="14" t="s">
        <v>36</v>
      </c>
      <c r="B18" s="14" t="s">
        <v>37</v>
      </c>
      <c r="C18" s="19">
        <f>ROUND('Total H-index'!C19/'Number of publication'!C19, 2)</f>
        <v>0.16</v>
      </c>
      <c r="D18" s="5"/>
    </row>
    <row r="19" spans="1:4" ht="36">
      <c r="A19" s="14" t="s">
        <v>38</v>
      </c>
      <c r="B19" s="14" t="s">
        <v>39</v>
      </c>
      <c r="C19" s="19">
        <f>ROUND('Total H-index'!C20/'Number of publication'!C20, 2)</f>
        <v>0.17</v>
      </c>
      <c r="D19" s="18"/>
    </row>
    <row r="20" spans="1:4">
      <c r="A20" s="12" t="s">
        <v>41</v>
      </c>
      <c r="B20" s="10" t="s">
        <v>42</v>
      </c>
      <c r="C20" s="19">
        <f>ROUND('Total H-index'!C21/'Number of publication'!C21, 2)</f>
        <v>0.3</v>
      </c>
      <c r="D20" s="5"/>
    </row>
    <row r="21" spans="1:4">
      <c r="A21" s="14" t="s">
        <v>43</v>
      </c>
      <c r="B21" s="14" t="s">
        <v>44</v>
      </c>
      <c r="C21" s="19"/>
      <c r="D21" s="5"/>
    </row>
    <row r="22" spans="1:4">
      <c r="A22" s="14" t="s">
        <v>45</v>
      </c>
      <c r="B22" s="14" t="s">
        <v>46</v>
      </c>
      <c r="C22" s="19"/>
      <c r="D22" s="5"/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AC52-F1ED-4B19-A268-1C0121C0914E}">
  <dimension ref="A1:D22"/>
  <sheetViews>
    <sheetView workbookViewId="0"/>
  </sheetViews>
  <sheetFormatPr defaultRowHeight="18"/>
  <cols>
    <col min="2" max="2" width="26.625" customWidth="1"/>
    <col min="3" max="3" width="25.375" customWidth="1"/>
  </cols>
  <sheetData>
    <row r="1" spans="1:4">
      <c r="A1" s="1"/>
      <c r="B1" s="1"/>
      <c r="C1" s="15" t="s">
        <v>56</v>
      </c>
      <c r="D1" s="4"/>
    </row>
    <row r="2" spans="1:4">
      <c r="B2" t="s">
        <v>2</v>
      </c>
      <c r="C2" s="3" t="s">
        <v>3</v>
      </c>
      <c r="D2" s="3" t="s">
        <v>6</v>
      </c>
    </row>
    <row r="3" spans="1:4">
      <c r="A3" s="7" t="s">
        <v>7</v>
      </c>
      <c r="B3" s="8" t="s">
        <v>8</v>
      </c>
      <c r="C3" s="19">
        <f>ROUND('Total i10-index'!C4/'Number of publication'!C4, 2)</f>
        <v>0.1</v>
      </c>
      <c r="D3" s="5"/>
    </row>
    <row r="4" spans="1:4">
      <c r="A4" s="9" t="s">
        <v>9</v>
      </c>
      <c r="B4" s="10"/>
      <c r="C4" s="19"/>
      <c r="D4" s="5"/>
    </row>
    <row r="5" spans="1:4">
      <c r="A5" s="11" t="s">
        <v>10</v>
      </c>
      <c r="B5" s="12" t="s">
        <v>11</v>
      </c>
      <c r="C5" s="19">
        <f>ROUND('Total i10-index'!C6/'Number of publication'!C6, 2)</f>
        <v>0.09</v>
      </c>
      <c r="D5" s="5"/>
    </row>
    <row r="6" spans="1:4">
      <c r="A6" s="11" t="s">
        <v>12</v>
      </c>
      <c r="B6" s="12" t="s">
        <v>13</v>
      </c>
      <c r="C6" s="19">
        <f>ROUND('Total i10-index'!C7/'Number of publication'!C7, 2)</f>
        <v>0.1</v>
      </c>
      <c r="D6" s="5"/>
    </row>
    <row r="7" spans="1:4">
      <c r="A7" s="11" t="s">
        <v>14</v>
      </c>
      <c r="B7" s="12" t="s">
        <v>15</v>
      </c>
      <c r="C7" s="19">
        <f>ROUND('Total i10-index'!C8/'Number of publication'!C8, 2)</f>
        <v>0.21</v>
      </c>
      <c r="D7" s="5"/>
    </row>
    <row r="8" spans="1:4">
      <c r="A8" s="11" t="s">
        <v>16</v>
      </c>
      <c r="B8" s="10" t="s">
        <v>17</v>
      </c>
      <c r="C8" s="19">
        <f>ROUND('Total i10-index'!C9/'Number of publication'!C9, 2)</f>
        <v>0.18</v>
      </c>
      <c r="D8" s="5"/>
    </row>
    <row r="9" spans="1:4">
      <c r="A9" s="11" t="s">
        <v>18</v>
      </c>
      <c r="B9" s="13" t="s">
        <v>19</v>
      </c>
      <c r="C9" s="30">
        <f>ROUND('Total i10-index'!C10/'Number of publication'!C10, 2)</f>
        <v>0.19</v>
      </c>
      <c r="D9" s="5"/>
    </row>
    <row r="10" spans="1:4">
      <c r="A10" s="14" t="s">
        <v>20</v>
      </c>
      <c r="B10" s="14" t="s">
        <v>21</v>
      </c>
      <c r="C10" s="19">
        <f>ROUND('Total i10-index'!C11/'Number of publication'!C11, 2)</f>
        <v>0.02</v>
      </c>
      <c r="D10" s="5"/>
    </row>
    <row r="11" spans="1:4">
      <c r="A11" s="12" t="s">
        <v>22</v>
      </c>
      <c r="B11" s="10"/>
      <c r="C11" s="19"/>
      <c r="D11" s="5"/>
    </row>
    <row r="12" spans="1:4" ht="36">
      <c r="A12" s="14" t="s">
        <v>23</v>
      </c>
      <c r="B12" s="14" t="s">
        <v>24</v>
      </c>
      <c r="C12" s="19">
        <f>ROUND('Total i10-index'!C13/'Number of publication'!C13, 2)</f>
        <v>0.09</v>
      </c>
      <c r="D12" s="5"/>
    </row>
    <row r="13" spans="1:4">
      <c r="A13" s="14" t="s">
        <v>25</v>
      </c>
      <c r="B13" s="14" t="s">
        <v>26</v>
      </c>
      <c r="C13" s="19">
        <f>ROUND('Total i10-index'!C14/'Number of publication'!C14, 2)</f>
        <v>0.17</v>
      </c>
      <c r="D13" s="5"/>
    </row>
    <row r="14" spans="1:4" ht="54">
      <c r="A14" s="14" t="s">
        <v>27</v>
      </c>
      <c r="B14" s="14" t="s">
        <v>28</v>
      </c>
      <c r="C14" s="19">
        <f>ROUND('Total i10-index'!C15/'Number of publication'!C15, 2)</f>
        <v>7.0000000000000007E-2</v>
      </c>
      <c r="D14" s="5"/>
    </row>
    <row r="15" spans="1:4" ht="36">
      <c r="A15" s="14" t="s">
        <v>29</v>
      </c>
      <c r="B15" s="14" t="s">
        <v>30</v>
      </c>
      <c r="C15" s="19">
        <f>ROUND('Total i10-index'!C16/'Number of publication'!C16, 2)</f>
        <v>0.18</v>
      </c>
      <c r="D15" s="5"/>
    </row>
    <row r="16" spans="1:4">
      <c r="A16" s="14" t="s">
        <v>31</v>
      </c>
      <c r="B16" s="14" t="s">
        <v>32</v>
      </c>
      <c r="C16" s="24">
        <f>ROUND('Total i10-index'!C17/'Number of publication'!C17, 2)</f>
        <v>0.28999999999999998</v>
      </c>
      <c r="D16" s="16"/>
    </row>
    <row r="17" spans="1:4">
      <c r="A17" s="14" t="s">
        <v>34</v>
      </c>
      <c r="B17" s="14" t="s">
        <v>35</v>
      </c>
      <c r="C17" s="29">
        <f>ROUND('Total i10-index'!C18/'Number of publication'!C18, 2)</f>
        <v>0.23</v>
      </c>
      <c r="D17" s="5"/>
    </row>
    <row r="18" spans="1:4">
      <c r="A18" s="14" t="s">
        <v>36</v>
      </c>
      <c r="B18" s="14" t="s">
        <v>37</v>
      </c>
      <c r="C18" s="19">
        <f>ROUND('Total i10-index'!C19/'Number of publication'!C19, 2)</f>
        <v>0.04</v>
      </c>
      <c r="D18" s="5"/>
    </row>
    <row r="19" spans="1:4" ht="36">
      <c r="A19" s="14" t="s">
        <v>38</v>
      </c>
      <c r="B19" s="14" t="s">
        <v>39</v>
      </c>
      <c r="C19" s="19">
        <f>ROUND('Total i10-index'!C20/'Number of publication'!C20, 2)</f>
        <v>0.18</v>
      </c>
      <c r="D19" s="18"/>
    </row>
    <row r="20" spans="1:4">
      <c r="A20" s="12" t="s">
        <v>41</v>
      </c>
      <c r="B20" s="10" t="s">
        <v>42</v>
      </c>
      <c r="C20" s="19">
        <f>ROUND('Total i10-index'!C21/'Number of publication'!C21, 2)</f>
        <v>0</v>
      </c>
      <c r="D20" s="5"/>
    </row>
    <row r="21" spans="1:4">
      <c r="A21" s="14" t="s">
        <v>43</v>
      </c>
      <c r="B21" s="14" t="s">
        <v>44</v>
      </c>
      <c r="C21" s="19"/>
      <c r="D21" s="5"/>
    </row>
    <row r="22" spans="1:4">
      <c r="A22" s="14" t="s">
        <v>45</v>
      </c>
      <c r="B22" s="14" t="s">
        <v>46</v>
      </c>
      <c r="C22" s="19"/>
      <c r="D22" s="5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F76797928629543BD2E4B0943B3CFE5" ma:contentTypeVersion="14" ma:contentTypeDescription="新しいドキュメントを作成します。" ma:contentTypeScope="" ma:versionID="460bb9b6da89ed7cbdb203f3d6757619">
  <xsd:schema xmlns:xsd="http://www.w3.org/2001/XMLSchema" xmlns:xs="http://www.w3.org/2001/XMLSchema" xmlns:p="http://schemas.microsoft.com/office/2006/metadata/properties" xmlns:ns2="5a97fcfc-c842-4631-b31e-f2d591b2f331" xmlns:ns3="27f22109-56a8-4e4c-83e4-af8d7b367958" targetNamespace="http://schemas.microsoft.com/office/2006/metadata/properties" ma:root="true" ma:fieldsID="009578e309e73c00f731b4611d924325" ns2:_="" ns3:_="">
    <xsd:import namespace="5a97fcfc-c842-4631-b31e-f2d591b2f331"/>
    <xsd:import namespace="27f22109-56a8-4e4c-83e4-af8d7b367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7fcfc-c842-4631-b31e-f2d591b2f3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fa5d88d-3070-4a76-8aeb-9490c925d2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22109-56a8-4e4c-83e4-af8d7b367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cd24184-43f8-48e8-8309-44772caa519e}" ma:internalName="TaxCatchAll" ma:showField="CatchAllData" ma:web="27f22109-56a8-4e4c-83e4-af8d7b367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7fcfc-c842-4631-b31e-f2d591b2f331">
      <Terms xmlns="http://schemas.microsoft.com/office/infopath/2007/PartnerControls"/>
    </lcf76f155ced4ddcb4097134ff3c332f>
    <TaxCatchAll xmlns="27f22109-56a8-4e4c-83e4-af8d7b36795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6E3D06-31C5-46CF-8FB3-3DCF9F182E78}"/>
</file>

<file path=customXml/itemProps2.xml><?xml version="1.0" encoding="utf-8"?>
<ds:datastoreItem xmlns:ds="http://schemas.openxmlformats.org/officeDocument/2006/customXml" ds:itemID="{DE39FBD7-3820-47E9-87D6-7EF240230A21}"/>
</file>

<file path=customXml/itemProps3.xml><?xml version="1.0" encoding="utf-8"?>
<ds:datastoreItem xmlns:ds="http://schemas.openxmlformats.org/officeDocument/2006/customXml" ds:itemID="{0FF271A8-14D3-482F-939C-ECE261D28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Tachibana</dc:creator>
  <cp:keywords/>
  <dc:description/>
  <cp:lastModifiedBy/>
  <cp:revision/>
  <dcterms:created xsi:type="dcterms:W3CDTF">2015-06-05T18:19:34Z</dcterms:created>
  <dcterms:modified xsi:type="dcterms:W3CDTF">2026-10-10T12:24:26Z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0x0101000F76797928629543BD2E4B0943B3CFE5</vt:lpwstr>
  </property>
  <property fmtid="{D5CDD505-2E9C-101B-9397-08002B2CF9AE}" pid="3" name="MediaServiceImageTags">
    <vt:lpwstr/>
  </property>
</Properties>
</file>